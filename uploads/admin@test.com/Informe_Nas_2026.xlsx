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0279587\Downloads\"/>
    </mc:Choice>
  </mc:AlternateContent>
  <xr:revisionPtr revIDLastSave="0" documentId="13_ncr:1_{20D9F202-F0EC-424D-A8B0-D531841E4D0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ANTES_Resumen por NAS" sheetId="1" r:id="rId1"/>
    <sheet name="ANTES_Detalle por Sha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2" l="1"/>
  <c r="D49" i="2"/>
  <c r="E49" i="2"/>
  <c r="F49" i="2"/>
  <c r="G49" i="2"/>
  <c r="D23" i="2"/>
  <c r="E23" i="2"/>
  <c r="F23" i="2"/>
  <c r="G23" i="2"/>
  <c r="C23" i="2"/>
  <c r="C17" i="1"/>
  <c r="D17" i="1"/>
  <c r="E17" i="1"/>
  <c r="F17" i="1"/>
  <c r="G17" i="1"/>
  <c r="B17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<sst xmlns="http://schemas.openxmlformats.org/spreadsheetml/2006/main" count="144" uniqueCount="35">
  <si>
    <t>NAS</t>
  </si>
  <si>
    <t>Size (GB)</t>
  </si>
  <si>
    <t>Size (TB)</t>
  </si>
  <si>
    <t>Allocated (GB)</t>
  </si>
  <si>
    <t>Allocated (TB)</t>
  </si>
  <si>
    <t>Files</t>
  </si>
  <si>
    <t>Folders</t>
  </si>
  <si>
    <t>NAS03</t>
  </si>
  <si>
    <t>NAS05</t>
  </si>
  <si>
    <t>NAS04</t>
  </si>
  <si>
    <t>Share</t>
  </si>
  <si>
    <t>Diff (GB)</t>
  </si>
  <si>
    <t>Last Change</t>
  </si>
  <si>
    <t>Last Access</t>
  </si>
  <si>
    <t>FS_NAS03_FS1</t>
  </si>
  <si>
    <t>31/12/2025</t>
  </si>
  <si>
    <t>FS_NAS03_FS2</t>
  </si>
  <si>
    <t>FS_NAS03_FS3</t>
  </si>
  <si>
    <t>23/12/2025</t>
  </si>
  <si>
    <t>FS_NAS03_FS4</t>
  </si>
  <si>
    <t>FS_NAS03_FS5</t>
  </si>
  <si>
    <t>FS_NAS03_FS6</t>
  </si>
  <si>
    <t>SUBTOTAL</t>
  </si>
  <si>
    <t>c$</t>
  </si>
  <si>
    <t>FS_NAS05_FS1</t>
  </si>
  <si>
    <t>FS_NAS05_FS2</t>
  </si>
  <si>
    <t>FS_NAS05_FS3</t>
  </si>
  <si>
    <t>02/01/2026</t>
  </si>
  <si>
    <t>FS_NAS05_FS4</t>
  </si>
  <si>
    <t>01/01/2026</t>
  </si>
  <si>
    <t>20/07/2026</t>
  </si>
  <si>
    <t>TOTAL GENERAL</t>
  </si>
  <si>
    <t>16/06/2026</t>
  </si>
  <si>
    <t>ANTES DE DEPURAR LA INFORMACIÓN</t>
  </si>
  <si>
    <t>DESPUÉS DE DEPURAR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</si>
</sst>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2"/>
      <color rgb="FFC0000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2"/>
      <color rgb="FFC00000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5" borderId="0" xfId="0" applyFill="1" applyBorder="1" applyAlignment="1">
      <alignment horizontal="center"/>
    </xf>
    <xf numFmtId="0" fontId="8" fillId="5" borderId="0" xfId="0" applyFont="1" applyFill="1" applyAlignment="1"/>
    <xf numFmtId="0" fontId="8" fillId="0" borderId="0" xfId="0" applyFont="1" applyAlignment="1"/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Normal="100" workbookViewId="0">
      <selection activeCell="C24" sqref="C24"/>
    </sheetView>
  </sheetViews>
  <sheetFormatPr baseColWidth="10" defaultColWidth="9.1796875" defaultRowHeight="14.5" x14ac:dyDescent="0.35"/>
  <cols>
    <col min="1" max="8" width="18" customWidth="1"/>
  </cols>
  <sheetData>
    <row r="1" spans="1:10" x14ac:dyDescent="0.35">
      <c r="A1" s="5"/>
      <c r="B1" s="5"/>
      <c r="C1" s="5"/>
      <c r="D1" s="5"/>
      <c r="E1" s="5"/>
      <c r="F1" s="5"/>
      <c r="G1" s="5"/>
      <c r="H1" s="5"/>
    </row>
    <row r="2" spans="1:10" x14ac:dyDescent="0.35">
      <c r="A2" s="5"/>
      <c r="B2" s="12" t="s">
        <v>33</v>
      </c>
      <c r="C2" s="12"/>
      <c r="D2" s="12"/>
      <c r="E2" s="12"/>
      <c r="F2" s="12"/>
      <c r="G2" s="15"/>
      <c r="H2" s="5"/>
    </row>
    <row r="3" spans="1:10" x14ac:dyDescent="0.35">
      <c r="A3" s="5"/>
      <c r="B3" s="5"/>
      <c r="C3" s="5"/>
      <c r="D3" s="5"/>
      <c r="E3" s="5"/>
      <c r="F3" s="5"/>
      <c r="G3" s="5"/>
      <c r="H3" s="5"/>
    </row>
    <row r="4" spans="1:10" x14ac:dyDescent="0.35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5"/>
      <c r="I4" s="5"/>
      <c r="J4" s="5"/>
    </row>
    <row r="5" spans="1:10" x14ac:dyDescent="0.35">
      <c r="A5" s="11" t="s">
        <v>7</v>
      </c>
      <c r="B5" s="11">
        <v>85354.95</v>
      </c>
      <c r="C5" s="11">
        <v>85.31</v>
      </c>
      <c r="D5" s="11">
        <v>87384.34</v>
      </c>
      <c r="E5" s="11">
        <v>85.34</v>
      </c>
      <c r="F5" s="11">
        <v>59377957</v>
      </c>
      <c r="G5" s="11">
        <v>4914637</v>
      </c>
      <c r="H5" s="5"/>
      <c r="I5" s="5"/>
      <c r="J5" s="5"/>
    </row>
    <row r="6" spans="1:10" x14ac:dyDescent="0.35">
      <c r="A6" s="11" t="s">
        <v>9</v>
      </c>
      <c r="B6" s="11">
        <v>15619.43</v>
      </c>
      <c r="C6" s="11">
        <v>15.25</v>
      </c>
      <c r="D6" s="11">
        <v>15633.74</v>
      </c>
      <c r="E6" s="11">
        <v>15.27</v>
      </c>
      <c r="F6" s="11">
        <v>31216759</v>
      </c>
      <c r="G6" s="11">
        <v>501233</v>
      </c>
      <c r="H6" s="5"/>
      <c r="I6" s="5"/>
      <c r="J6" s="5"/>
    </row>
    <row r="7" spans="1:10" x14ac:dyDescent="0.35">
      <c r="A7" s="11" t="s">
        <v>8</v>
      </c>
      <c r="B7" s="11">
        <v>39167.49</v>
      </c>
      <c r="C7" s="11">
        <v>38.25</v>
      </c>
      <c r="D7" s="11">
        <v>39344.86</v>
      </c>
      <c r="E7" s="11">
        <v>38.42</v>
      </c>
      <c r="F7" s="11">
        <v>138792196</v>
      </c>
      <c r="G7" s="11">
        <v>2492577</v>
      </c>
      <c r="H7" s="5"/>
      <c r="I7" s="5"/>
      <c r="J7" s="5"/>
    </row>
    <row r="8" spans="1:10" x14ac:dyDescent="0.35">
      <c r="A8" s="5"/>
      <c r="B8" s="6">
        <f>SUM(B5:B7)</f>
        <v>140141.87</v>
      </c>
      <c r="C8" s="6">
        <f>SUM(C5:C7)</f>
        <v>138.81</v>
      </c>
      <c r="D8" s="6">
        <f>SUM(D5:D7)</f>
        <v>142362.94</v>
      </c>
      <c r="E8" s="6">
        <f>SUM(E5:E7)</f>
        <v>139.03</v>
      </c>
      <c r="F8" s="6">
        <f>SUM(F5:F7)</f>
        <v>229386912</v>
      </c>
      <c r="G8" s="6">
        <f>SUM(G5:G7)</f>
        <v>7908447</v>
      </c>
      <c r="H8" s="5"/>
      <c r="I8" s="5"/>
      <c r="J8" s="5"/>
    </row>
    <row r="9" spans="1:10" x14ac:dyDescent="0.35">
      <c r="A9" s="5"/>
      <c r="B9" s="14"/>
      <c r="C9" s="14"/>
      <c r="D9" s="14"/>
      <c r="E9" s="14"/>
      <c r="F9" s="14"/>
      <c r="G9" s="14"/>
      <c r="H9" s="5"/>
      <c r="I9" s="5"/>
      <c r="J9" s="5"/>
    </row>
    <row r="10" spans="1:10" x14ac:dyDescent="0.35">
      <c r="A10" s="5"/>
      <c r="B10" s="14"/>
      <c r="C10" s="15"/>
      <c r="D10" s="15"/>
      <c r="E10" s="15"/>
      <c r="F10" s="15"/>
      <c r="G10" s="16"/>
      <c r="H10" s="5"/>
      <c r="I10" s="5"/>
      <c r="J10" s="5"/>
    </row>
    <row r="11" spans="1:10" x14ac:dyDescent="0.35">
      <c r="A11" s="5"/>
      <c r="B11" s="12" t="s">
        <v>34</v>
      </c>
      <c r="C11" s="12"/>
      <c r="D11" s="12"/>
      <c r="E11" s="12"/>
      <c r="F11" s="12"/>
      <c r="G11" s="5"/>
      <c r="H11" s="5"/>
      <c r="I11" s="5"/>
      <c r="J11" s="5"/>
    </row>
    <row r="12" spans="1:10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35">
      <c r="A13" s="17" t="s">
        <v>0</v>
      </c>
      <c r="B13" s="17" t="s">
        <v>1</v>
      </c>
      <c r="C13" s="17" t="s">
        <v>2</v>
      </c>
      <c r="D13" s="17" t="s">
        <v>3</v>
      </c>
      <c r="E13" s="17" t="s">
        <v>4</v>
      </c>
      <c r="F13" s="17" t="s">
        <v>5</v>
      </c>
      <c r="G13" s="17" t="s">
        <v>6</v>
      </c>
      <c r="H13" s="5"/>
      <c r="I13" s="5"/>
      <c r="J13" s="5"/>
    </row>
    <row r="14" spans="1:10" x14ac:dyDescent="0.35">
      <c r="A14" s="7" t="s">
        <v>7</v>
      </c>
      <c r="B14" s="7">
        <v>87647.51</v>
      </c>
      <c r="C14" s="7">
        <v>85.59</v>
      </c>
      <c r="D14" s="7">
        <v>87672.61</v>
      </c>
      <c r="E14" s="7">
        <v>85.62</v>
      </c>
      <c r="F14" s="7">
        <v>53264556</v>
      </c>
      <c r="G14" s="7">
        <v>4996595</v>
      </c>
      <c r="H14" s="5"/>
      <c r="I14" s="5"/>
      <c r="J14" s="5"/>
    </row>
    <row r="15" spans="1:10" x14ac:dyDescent="0.35">
      <c r="A15" s="11" t="s">
        <v>9</v>
      </c>
      <c r="B15" s="11">
        <v>12689.33</v>
      </c>
      <c r="C15" s="11">
        <v>12.39</v>
      </c>
      <c r="D15" s="11">
        <v>12703.39</v>
      </c>
      <c r="E15" s="11">
        <v>12.41</v>
      </c>
      <c r="F15" s="11">
        <v>30675890</v>
      </c>
      <c r="G15" s="11">
        <v>453129</v>
      </c>
      <c r="H15" s="5"/>
      <c r="I15" s="5"/>
      <c r="J15" s="5"/>
    </row>
    <row r="16" spans="1:10" x14ac:dyDescent="0.35">
      <c r="A16" s="11" t="s">
        <v>8</v>
      </c>
      <c r="B16" s="11">
        <v>27969.27</v>
      </c>
      <c r="C16" s="11">
        <v>27.31</v>
      </c>
      <c r="D16" s="11">
        <v>28080.38</v>
      </c>
      <c r="E16" s="11">
        <v>27.42</v>
      </c>
      <c r="F16" s="11">
        <v>91422815</v>
      </c>
      <c r="G16" s="11">
        <v>2836311</v>
      </c>
      <c r="H16" s="5"/>
      <c r="I16" s="5"/>
      <c r="J16" s="5"/>
    </row>
    <row r="17" spans="1:10" x14ac:dyDescent="0.35">
      <c r="A17" s="5"/>
      <c r="B17" s="6">
        <f>SUM(B14:B16)</f>
        <v>128306.11</v>
      </c>
      <c r="C17" s="6">
        <f>SUM(C14:C16)</f>
        <v>125.29</v>
      </c>
      <c r="D17" s="6">
        <f>SUM(D14:D16)</f>
        <v>128456.38</v>
      </c>
      <c r="E17" s="6">
        <f>SUM(E14:E16)</f>
        <v>125.45</v>
      </c>
      <c r="F17" s="6">
        <f>SUM(F14:F16)</f>
        <v>175363261</v>
      </c>
      <c r="G17" s="6">
        <f>SUM(G14:G16)</f>
        <v>8286035</v>
      </c>
      <c r="H17" s="5"/>
      <c r="I17" s="5"/>
      <c r="J17" s="5"/>
    </row>
    <row r="18" spans="1:10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</row>
  </sheetData>
  <mergeCells count="2">
    <mergeCell ref="B2:F2"/>
    <mergeCell ref="B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topLeftCell="A27" workbookViewId="0">
      <selection activeCell="B26" sqref="B26"/>
    </sheetView>
  </sheetViews>
  <sheetFormatPr baseColWidth="10" defaultColWidth="9.1796875" defaultRowHeight="14.5" x14ac:dyDescent="0.35"/>
  <cols>
    <col min="1" max="9" width="18" customWidth="1"/>
  </cols>
  <sheetData>
    <row r="1" spans="1:9" x14ac:dyDescent="0.35">
      <c r="A1" s="5"/>
      <c r="B1" s="5"/>
      <c r="C1" s="5"/>
      <c r="D1" s="5"/>
      <c r="E1" s="5"/>
      <c r="F1" s="5"/>
      <c r="G1" s="5"/>
      <c r="H1" s="5"/>
      <c r="I1" s="5"/>
    </row>
    <row r="2" spans="1:9" x14ac:dyDescent="0.35">
      <c r="A2" s="5"/>
      <c r="B2" s="5"/>
      <c r="C2" s="12" t="s">
        <v>33</v>
      </c>
      <c r="D2" s="12"/>
      <c r="E2" s="12"/>
      <c r="F2" s="12"/>
      <c r="G2" s="12"/>
      <c r="H2" s="5"/>
      <c r="I2" s="5"/>
    </row>
    <row r="3" spans="1:9" x14ac:dyDescent="0.3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1" t="s">
        <v>0</v>
      </c>
      <c r="B4" s="1" t="s">
        <v>10</v>
      </c>
      <c r="C4" s="1" t="s">
        <v>1</v>
      </c>
      <c r="D4" s="1" t="s">
        <v>3</v>
      </c>
      <c r="E4" s="1" t="s">
        <v>11</v>
      </c>
      <c r="F4" s="1" t="s">
        <v>5</v>
      </c>
      <c r="G4" s="1" t="s">
        <v>6</v>
      </c>
      <c r="H4" s="1" t="s">
        <v>12</v>
      </c>
      <c r="I4" s="1" t="s">
        <v>13</v>
      </c>
    </row>
    <row r="5" spans="1:9" x14ac:dyDescent="0.35">
      <c r="A5" s="2" t="s">
        <v>7</v>
      </c>
      <c r="B5" s="2" t="s">
        <v>14</v>
      </c>
      <c r="C5" s="2">
        <v>26369.73</v>
      </c>
      <c r="D5" s="2">
        <v>26372.44</v>
      </c>
      <c r="E5" s="2">
        <v>2.71</v>
      </c>
      <c r="F5" s="2">
        <v>5877125</v>
      </c>
      <c r="G5" s="2">
        <v>715071</v>
      </c>
      <c r="H5" s="2" t="s">
        <v>15</v>
      </c>
      <c r="I5" s="2" t="s">
        <v>15</v>
      </c>
    </row>
    <row r="6" spans="1:9" x14ac:dyDescent="0.35">
      <c r="A6" s="2" t="s">
        <v>7</v>
      </c>
      <c r="B6" s="2" t="s">
        <v>16</v>
      </c>
      <c r="C6" s="2">
        <v>24475.5</v>
      </c>
      <c r="D6" s="2">
        <v>24491.87</v>
      </c>
      <c r="E6" s="2">
        <v>16.36</v>
      </c>
      <c r="F6" s="2">
        <v>30564282</v>
      </c>
      <c r="G6" s="2">
        <v>1623200</v>
      </c>
      <c r="H6" s="2" t="s">
        <v>15</v>
      </c>
      <c r="I6" s="2" t="s">
        <v>15</v>
      </c>
    </row>
    <row r="7" spans="1:9" x14ac:dyDescent="0.35">
      <c r="A7" s="2" t="s">
        <v>7</v>
      </c>
      <c r="B7" s="2" t="s">
        <v>17</v>
      </c>
      <c r="C7" s="2">
        <v>554.53</v>
      </c>
      <c r="D7" s="2">
        <v>554.69000000000005</v>
      </c>
      <c r="E7" s="2">
        <v>0.17</v>
      </c>
      <c r="F7" s="2">
        <v>400697</v>
      </c>
      <c r="G7" s="2">
        <v>62803</v>
      </c>
      <c r="H7" s="2" t="s">
        <v>18</v>
      </c>
      <c r="I7" s="2" t="s">
        <v>18</v>
      </c>
    </row>
    <row r="8" spans="1:9" x14ac:dyDescent="0.35">
      <c r="A8" s="2" t="s">
        <v>7</v>
      </c>
      <c r="B8" s="2" t="s">
        <v>19</v>
      </c>
      <c r="C8" s="2">
        <v>3896.97</v>
      </c>
      <c r="D8" s="2">
        <v>3898.97</v>
      </c>
      <c r="E8" s="2">
        <v>2.0099999999999998</v>
      </c>
      <c r="F8" s="2">
        <v>4641606</v>
      </c>
      <c r="G8" s="2">
        <v>279747</v>
      </c>
      <c r="H8" s="2" t="s">
        <v>15</v>
      </c>
      <c r="I8" s="2" t="s">
        <v>15</v>
      </c>
    </row>
    <row r="9" spans="1:9" x14ac:dyDescent="0.35">
      <c r="A9" s="2" t="s">
        <v>7</v>
      </c>
      <c r="B9" s="2" t="s">
        <v>20</v>
      </c>
      <c r="C9" s="2">
        <v>27066.07</v>
      </c>
      <c r="D9" s="2">
        <v>27071.59</v>
      </c>
      <c r="E9" s="2">
        <v>5.52</v>
      </c>
      <c r="F9" s="2">
        <v>12221696</v>
      </c>
      <c r="G9" s="2">
        <v>1767414</v>
      </c>
      <c r="H9" s="2" t="s">
        <v>15</v>
      </c>
      <c r="I9" s="2" t="s">
        <v>15</v>
      </c>
    </row>
    <row r="10" spans="1:9" x14ac:dyDescent="0.35">
      <c r="A10" s="2" t="s">
        <v>7</v>
      </c>
      <c r="B10" s="2" t="s">
        <v>21</v>
      </c>
      <c r="C10" s="2">
        <v>4992.1499999999996</v>
      </c>
      <c r="D10" s="2">
        <v>4994.78</v>
      </c>
      <c r="E10" s="2">
        <v>2.63</v>
      </c>
      <c r="F10" s="2">
        <v>5672551</v>
      </c>
      <c r="G10" s="2">
        <v>466402</v>
      </c>
      <c r="H10" s="2" t="s">
        <v>15</v>
      </c>
      <c r="I10" s="2" t="s">
        <v>15</v>
      </c>
    </row>
    <row r="11" spans="1:9" x14ac:dyDescent="0.35">
      <c r="A11" s="3" t="s">
        <v>7</v>
      </c>
      <c r="B11" s="3" t="s">
        <v>22</v>
      </c>
      <c r="C11" s="3">
        <v>87354.95</v>
      </c>
      <c r="D11" s="3">
        <v>87384.34</v>
      </c>
      <c r="E11" s="3">
        <v>29.4</v>
      </c>
      <c r="F11" s="3">
        <v>59377957</v>
      </c>
      <c r="G11" s="3">
        <v>4914637</v>
      </c>
      <c r="H11" s="3"/>
      <c r="I11" s="3"/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s="2" t="s">
        <v>9</v>
      </c>
      <c r="B13" s="2" t="s">
        <v>23</v>
      </c>
      <c r="C13" s="2">
        <v>15619.43</v>
      </c>
      <c r="D13" s="2">
        <v>15633.74</v>
      </c>
      <c r="E13" s="2">
        <v>14.32</v>
      </c>
      <c r="F13" s="2">
        <v>31216759</v>
      </c>
      <c r="G13" s="2">
        <v>501233</v>
      </c>
      <c r="H13" s="2" t="s">
        <v>15</v>
      </c>
      <c r="I13" s="2" t="s">
        <v>15</v>
      </c>
    </row>
    <row r="14" spans="1:9" x14ac:dyDescent="0.35">
      <c r="A14" s="3" t="s">
        <v>9</v>
      </c>
      <c r="B14" s="3" t="s">
        <v>22</v>
      </c>
      <c r="C14" s="3">
        <v>15619.43</v>
      </c>
      <c r="D14" s="3">
        <v>15633.74</v>
      </c>
      <c r="E14" s="3">
        <v>14.32</v>
      </c>
      <c r="F14" s="3">
        <v>31216759</v>
      </c>
      <c r="G14" s="3">
        <v>501233</v>
      </c>
      <c r="H14" s="3"/>
      <c r="I14" s="3"/>
    </row>
    <row r="15" spans="1:9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5">
      <c r="A16" s="2" t="s">
        <v>8</v>
      </c>
      <c r="B16" s="2" t="s">
        <v>24</v>
      </c>
      <c r="C16" s="2">
        <v>10577</v>
      </c>
      <c r="D16" s="2">
        <v>10617.8</v>
      </c>
      <c r="E16" s="2">
        <v>40.799999999999997</v>
      </c>
      <c r="F16" s="2">
        <v>38353413</v>
      </c>
      <c r="G16" s="2">
        <v>598465</v>
      </c>
      <c r="H16" s="2" t="s">
        <v>15</v>
      </c>
      <c r="I16" s="2" t="s">
        <v>15</v>
      </c>
    </row>
    <row r="17" spans="1:9" x14ac:dyDescent="0.35">
      <c r="A17" s="2" t="s">
        <v>8</v>
      </c>
      <c r="B17" s="2" t="s">
        <v>25</v>
      </c>
      <c r="C17" s="2">
        <v>6916.89</v>
      </c>
      <c r="D17" s="2">
        <v>6980.49</v>
      </c>
      <c r="E17" s="2">
        <v>63.6</v>
      </c>
      <c r="F17" s="2">
        <v>25864133</v>
      </c>
      <c r="G17" s="2">
        <v>1873677</v>
      </c>
      <c r="H17" s="2" t="s">
        <v>15</v>
      </c>
      <c r="I17" s="2" t="s">
        <v>15</v>
      </c>
    </row>
    <row r="18" spans="1:9" x14ac:dyDescent="0.35">
      <c r="A18" s="2" t="s">
        <v>8</v>
      </c>
      <c r="B18" s="2" t="s">
        <v>26</v>
      </c>
      <c r="C18" s="2">
        <v>11903.75</v>
      </c>
      <c r="D18" s="2">
        <v>11960.76</v>
      </c>
      <c r="E18" s="2">
        <v>57.01</v>
      </c>
      <c r="F18" s="2">
        <v>39362822</v>
      </c>
      <c r="G18" s="2">
        <v>11597</v>
      </c>
      <c r="H18" s="2" t="s">
        <v>27</v>
      </c>
      <c r="I18" s="2" t="s">
        <v>27</v>
      </c>
    </row>
    <row r="19" spans="1:9" x14ac:dyDescent="0.35">
      <c r="A19" s="2" t="s">
        <v>8</v>
      </c>
      <c r="B19" s="2" t="s">
        <v>28</v>
      </c>
      <c r="C19" s="2">
        <v>9769.85</v>
      </c>
      <c r="D19" s="2">
        <v>9785.82</v>
      </c>
      <c r="E19" s="2">
        <v>15.96</v>
      </c>
      <c r="F19" s="2">
        <v>35211828</v>
      </c>
      <c r="G19" s="2">
        <v>8838</v>
      </c>
      <c r="H19" s="2" t="s">
        <v>29</v>
      </c>
      <c r="I19" s="2" t="s">
        <v>29</v>
      </c>
    </row>
    <row r="20" spans="1:9" x14ac:dyDescent="0.35">
      <c r="A20" s="3" t="s">
        <v>8</v>
      </c>
      <c r="B20" s="3" t="s">
        <v>22</v>
      </c>
      <c r="C20" s="3">
        <v>39167.49</v>
      </c>
      <c r="D20" s="3">
        <v>39344.86</v>
      </c>
      <c r="E20" s="3">
        <v>177.37</v>
      </c>
      <c r="F20" s="3">
        <v>138792196</v>
      </c>
      <c r="G20" s="3">
        <v>2492577</v>
      </c>
      <c r="H20" s="3"/>
      <c r="I20" s="3"/>
    </row>
    <row r="21" spans="1:9" x14ac:dyDescent="0.3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5">
      <c r="A22" s="2"/>
      <c r="B22" s="2"/>
      <c r="C22" s="2"/>
      <c r="D22" s="2"/>
      <c r="E22" s="2"/>
      <c r="F22" s="2"/>
      <c r="G22" s="2"/>
      <c r="H22" s="2"/>
      <c r="I22" s="2"/>
    </row>
    <row r="23" spans="1:9" ht="15.5" x14ac:dyDescent="0.35">
      <c r="A23" s="4" t="s">
        <v>31</v>
      </c>
      <c r="B23" s="4"/>
      <c r="C23" s="4">
        <f>C11+C14+C20</f>
        <v>142141.87</v>
      </c>
      <c r="D23" s="4">
        <f t="shared" ref="D23:G23" si="0">D11+D14+D20</f>
        <v>142362.94</v>
      </c>
      <c r="E23" s="4">
        <f t="shared" si="0"/>
        <v>221.09</v>
      </c>
      <c r="F23" s="4">
        <f t="shared" si="0"/>
        <v>229386912</v>
      </c>
      <c r="G23" s="4">
        <f t="shared" si="0"/>
        <v>7908447</v>
      </c>
      <c r="H23" s="4"/>
      <c r="I23" s="4"/>
    </row>
    <row r="27" spans="1:9" x14ac:dyDescent="0.35">
      <c r="C27" s="13" t="s">
        <v>34</v>
      </c>
      <c r="D27" s="13"/>
      <c r="E27" s="13"/>
      <c r="F27" s="13"/>
      <c r="G27" s="13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8" t="s">
        <v>0</v>
      </c>
      <c r="B31" s="8" t="s">
        <v>10</v>
      </c>
      <c r="C31" s="8" t="s">
        <v>1</v>
      </c>
      <c r="D31" s="8" t="s">
        <v>3</v>
      </c>
      <c r="E31" s="8" t="s">
        <v>11</v>
      </c>
      <c r="F31" s="8" t="s">
        <v>5</v>
      </c>
      <c r="G31" s="8" t="s">
        <v>6</v>
      </c>
      <c r="H31" s="8" t="s">
        <v>12</v>
      </c>
      <c r="I31" s="8" t="s">
        <v>13</v>
      </c>
    </row>
    <row r="32" spans="1:9" x14ac:dyDescent="0.35">
      <c r="A32" s="2" t="s">
        <v>7</v>
      </c>
      <c r="B32" s="2" t="s">
        <v>14</v>
      </c>
      <c r="C32" s="2">
        <v>26166.75</v>
      </c>
      <c r="D32" s="2">
        <v>26169.53</v>
      </c>
      <c r="E32" s="2">
        <v>2.78</v>
      </c>
      <c r="F32" s="2">
        <v>6002996</v>
      </c>
      <c r="G32" s="2">
        <v>726890</v>
      </c>
      <c r="H32" s="2" t="s">
        <v>30</v>
      </c>
      <c r="I32" s="2" t="s">
        <v>30</v>
      </c>
    </row>
    <row r="33" spans="1:9" x14ac:dyDescent="0.35">
      <c r="A33" s="2" t="s">
        <v>7</v>
      </c>
      <c r="B33" s="2" t="s">
        <v>16</v>
      </c>
      <c r="C33" s="2">
        <v>24443.79</v>
      </c>
      <c r="D33" s="2">
        <v>24455.66</v>
      </c>
      <c r="E33" s="2">
        <v>11.87</v>
      </c>
      <c r="F33" s="2">
        <v>24028748</v>
      </c>
      <c r="G33" s="2">
        <v>1654376</v>
      </c>
      <c r="H33" s="2" t="s">
        <v>30</v>
      </c>
      <c r="I33" s="2" t="s">
        <v>30</v>
      </c>
    </row>
    <row r="34" spans="1:9" x14ac:dyDescent="0.35">
      <c r="A34" s="2" t="s">
        <v>7</v>
      </c>
      <c r="B34" s="2" t="s">
        <v>17</v>
      </c>
      <c r="C34" s="2">
        <v>587.35</v>
      </c>
      <c r="D34" s="2">
        <v>587.52</v>
      </c>
      <c r="E34" s="2">
        <v>0.17</v>
      </c>
      <c r="F34" s="2">
        <v>403981</v>
      </c>
      <c r="G34" s="2">
        <v>63079</v>
      </c>
      <c r="H34" s="2" t="s">
        <v>32</v>
      </c>
      <c r="I34" s="2" t="s">
        <v>32</v>
      </c>
    </row>
    <row r="35" spans="1:9" x14ac:dyDescent="0.35">
      <c r="A35" s="2" t="s">
        <v>7</v>
      </c>
      <c r="B35" s="2" t="s">
        <v>19</v>
      </c>
      <c r="C35" s="2">
        <v>3960.5</v>
      </c>
      <c r="D35" s="2">
        <v>3962.59</v>
      </c>
      <c r="E35" s="2">
        <v>2.09</v>
      </c>
      <c r="F35" s="2">
        <v>4822978</v>
      </c>
      <c r="G35" s="2">
        <v>286445</v>
      </c>
      <c r="H35" s="2" t="s">
        <v>30</v>
      </c>
      <c r="I35" s="2" t="s">
        <v>30</v>
      </c>
    </row>
    <row r="36" spans="1:9" x14ac:dyDescent="0.35">
      <c r="A36" s="2" t="s">
        <v>7</v>
      </c>
      <c r="B36" s="2" t="s">
        <v>20</v>
      </c>
      <c r="C36" s="2">
        <v>27471.66</v>
      </c>
      <c r="D36" s="2">
        <v>27477.23</v>
      </c>
      <c r="E36" s="2">
        <v>5.57</v>
      </c>
      <c r="F36" s="2">
        <v>12325725</v>
      </c>
      <c r="G36" s="2">
        <v>1799201</v>
      </c>
      <c r="H36" s="2" t="s">
        <v>30</v>
      </c>
      <c r="I36" s="2" t="s">
        <v>30</v>
      </c>
    </row>
    <row r="37" spans="1:9" x14ac:dyDescent="0.35">
      <c r="A37" s="2" t="s">
        <v>7</v>
      </c>
      <c r="B37" s="2" t="s">
        <v>21</v>
      </c>
      <c r="C37" s="2">
        <v>5017.45</v>
      </c>
      <c r="D37" s="2">
        <v>5020.08</v>
      </c>
      <c r="E37" s="2">
        <v>2.63</v>
      </c>
      <c r="F37" s="2">
        <v>5680128</v>
      </c>
      <c r="G37" s="2">
        <v>466604</v>
      </c>
      <c r="H37" s="2" t="s">
        <v>30</v>
      </c>
      <c r="I37" s="2" t="s">
        <v>30</v>
      </c>
    </row>
    <row r="38" spans="1:9" x14ac:dyDescent="0.35">
      <c r="A38" s="9" t="s">
        <v>7</v>
      </c>
      <c r="B38" s="9" t="s">
        <v>22</v>
      </c>
      <c r="C38" s="9">
        <v>87647.51</v>
      </c>
      <c r="D38" s="9">
        <v>87672.61</v>
      </c>
      <c r="E38" s="9">
        <v>25.11</v>
      </c>
      <c r="F38" s="9">
        <v>53264556</v>
      </c>
      <c r="G38" s="9">
        <v>4996595</v>
      </c>
      <c r="H38" s="9"/>
      <c r="I38" s="9"/>
    </row>
    <row r="39" spans="1:9" x14ac:dyDescent="0.3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5">
      <c r="A40" s="2" t="s">
        <v>9</v>
      </c>
      <c r="B40" s="2" t="s">
        <v>23</v>
      </c>
      <c r="C40" s="2">
        <v>12689.33</v>
      </c>
      <c r="D40" s="2">
        <v>12703.39</v>
      </c>
      <c r="E40" s="2">
        <v>14.06</v>
      </c>
      <c r="F40" s="2">
        <v>30675890</v>
      </c>
      <c r="G40" s="2">
        <v>453129</v>
      </c>
      <c r="H40" s="2" t="s">
        <v>30</v>
      </c>
      <c r="I40" s="2" t="s">
        <v>30</v>
      </c>
    </row>
    <row r="41" spans="1:9" x14ac:dyDescent="0.35">
      <c r="A41" s="9" t="s">
        <v>9</v>
      </c>
      <c r="B41" s="9" t="s">
        <v>22</v>
      </c>
      <c r="C41" s="9">
        <v>12689.33</v>
      </c>
      <c r="D41" s="9">
        <v>12703.39</v>
      </c>
      <c r="E41" s="9">
        <v>14.06</v>
      </c>
      <c r="F41" s="9">
        <v>30675890</v>
      </c>
      <c r="G41" s="9">
        <v>453129</v>
      </c>
      <c r="H41" s="9"/>
      <c r="I41" s="9"/>
    </row>
    <row r="42" spans="1:9" x14ac:dyDescent="0.3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5">
      <c r="A43" s="2" t="s">
        <v>8</v>
      </c>
      <c r="B43" s="2" t="s">
        <v>24</v>
      </c>
      <c r="C43" s="2">
        <v>10395.99</v>
      </c>
      <c r="D43" s="2">
        <v>10436.02</v>
      </c>
      <c r="E43" s="2">
        <v>40.03</v>
      </c>
      <c r="F43" s="2">
        <v>38503723</v>
      </c>
      <c r="G43" s="2">
        <v>812590</v>
      </c>
      <c r="H43" s="2" t="s">
        <v>30</v>
      </c>
      <c r="I43" s="2" t="s">
        <v>30</v>
      </c>
    </row>
    <row r="44" spans="1:9" x14ac:dyDescent="0.35">
      <c r="A44" s="2" t="s">
        <v>8</v>
      </c>
      <c r="B44" s="2" t="s">
        <v>25</v>
      </c>
      <c r="C44" s="2">
        <v>4060.82</v>
      </c>
      <c r="D44" s="2">
        <v>4073.9</v>
      </c>
      <c r="E44" s="2">
        <v>13.08</v>
      </c>
      <c r="F44" s="2">
        <v>11493809</v>
      </c>
      <c r="G44" s="2">
        <v>2009673</v>
      </c>
      <c r="H44" s="2" t="s">
        <v>30</v>
      </c>
      <c r="I44" s="2" t="s">
        <v>30</v>
      </c>
    </row>
    <row r="45" spans="1:9" x14ac:dyDescent="0.35">
      <c r="A45" s="2" t="s">
        <v>8</v>
      </c>
      <c r="B45" s="2" t="s">
        <v>26</v>
      </c>
      <c r="C45" s="2">
        <v>12681.26</v>
      </c>
      <c r="D45" s="2">
        <v>12739.25</v>
      </c>
      <c r="E45" s="2">
        <v>57.98</v>
      </c>
      <c r="F45" s="2">
        <v>41400376</v>
      </c>
      <c r="G45" s="2">
        <v>11603</v>
      </c>
      <c r="H45" s="2" t="s">
        <v>30</v>
      </c>
      <c r="I45" s="2" t="s">
        <v>30</v>
      </c>
    </row>
    <row r="46" spans="1:9" x14ac:dyDescent="0.35">
      <c r="A46" s="2" t="s">
        <v>8</v>
      </c>
      <c r="B46" s="2" t="s">
        <v>28</v>
      </c>
      <c r="C46" s="2">
        <v>831.19</v>
      </c>
      <c r="D46" s="2">
        <v>831.21</v>
      </c>
      <c r="E46" s="2">
        <v>0.01</v>
      </c>
      <c r="F46" s="2">
        <v>24907</v>
      </c>
      <c r="G46" s="2">
        <v>2445</v>
      </c>
      <c r="H46" s="2" t="s">
        <v>30</v>
      </c>
      <c r="I46" s="2" t="s">
        <v>30</v>
      </c>
    </row>
    <row r="47" spans="1:9" x14ac:dyDescent="0.35">
      <c r="A47" s="9" t="s">
        <v>8</v>
      </c>
      <c r="B47" s="9" t="s">
        <v>22</v>
      </c>
      <c r="C47" s="9">
        <v>27969.27</v>
      </c>
      <c r="D47" s="9">
        <v>28080.38</v>
      </c>
      <c r="E47" s="9">
        <v>111.11</v>
      </c>
      <c r="F47" s="9">
        <v>91422815</v>
      </c>
      <c r="G47" s="9">
        <v>2836311</v>
      </c>
      <c r="H47" s="9"/>
      <c r="I47" s="9"/>
    </row>
    <row r="48" spans="1:9" x14ac:dyDescent="0.35">
      <c r="A48" s="2"/>
      <c r="B48" s="2"/>
      <c r="C48" s="2"/>
      <c r="D48" s="2"/>
      <c r="E48" s="2"/>
      <c r="F48" s="2"/>
      <c r="G48" s="2"/>
      <c r="H48" s="2"/>
      <c r="I48" s="2"/>
    </row>
    <row r="49" spans="1:9" ht="15.5" x14ac:dyDescent="0.35">
      <c r="A49" s="10" t="s">
        <v>31</v>
      </c>
      <c r="B49" s="10"/>
      <c r="C49" s="10">
        <f>C38+C41+C47</f>
        <v>128306.11</v>
      </c>
      <c r="D49" s="10">
        <f>D38+D41+D47</f>
        <v>128456.38</v>
      </c>
      <c r="E49" s="10">
        <f>E38+E41+E47</f>
        <v>150.28</v>
      </c>
      <c r="F49" s="10">
        <f>F38+F41+F47</f>
        <v>175363261</v>
      </c>
      <c r="G49" s="10">
        <f>G38+G41+G47</f>
        <v>8286035</v>
      </c>
      <c r="H49" s="10"/>
      <c r="I49" s="10"/>
    </row>
  </sheetData>
  <mergeCells count="2">
    <mergeCell ref="C2:G2"/>
    <mergeCell ref="C27:G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ANTES_Resumen por NAS</vt:lpstr>
      <vt:lpstr>ANTES_Detalle por 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Yeison Aley Prieto</cp:lastModifiedBy>
  <dcterms:created xsi:type="dcterms:W3CDTF">2026-07-20T17:28:56Z</dcterms:created>
  <dcterms:modified xsi:type="dcterms:W3CDTF">2026-07-20T20:27:04Z</dcterms:modified>
</cp:coreProperties>
</file>